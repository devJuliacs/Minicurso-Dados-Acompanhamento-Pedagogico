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7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  <sheet state="hidden" name="Dashboard Acompanhamento 2" sheetId="2" r:id="rId6"/>
    <sheet state="visible" name="Dashboard Acompanhamento" sheetId="3" r:id="rId7"/>
  </sheets>
  <definedNames/>
  <calcPr/>
  <pivotCaches>
    <pivotCache cacheId="0" r:id="rId8"/>
  </pivotCaches>
</workbook>
</file>

<file path=xl/sharedStrings.xml><?xml version="1.0" encoding="utf-8"?>
<sst xmlns="http://schemas.openxmlformats.org/spreadsheetml/2006/main" count="116" uniqueCount="38">
  <si>
    <t>ID</t>
  </si>
  <si>
    <t>Nome do Aluno</t>
  </si>
  <si>
    <t>Polo/Turma</t>
  </si>
  <si>
    <t>Último Acesso (Dias)</t>
  </si>
  <si>
    <t>Acessos Totais</t>
  </si>
  <si>
    <t>Postagens Fórum</t>
  </si>
  <si>
    <t>Taxa de Entrega (%)</t>
  </si>
  <si>
    <t>Entregas com Atraso</t>
  </si>
  <si>
    <t>Nota Média (0-100)</t>
  </si>
  <si>
    <t>Risco de Evasão</t>
  </si>
  <si>
    <t>Ana Souza</t>
  </si>
  <si>
    <t>Turma A</t>
  </si>
  <si>
    <t>Baixo</t>
  </si>
  <si>
    <t>Bruno Lima</t>
  </si>
  <si>
    <t>Turma B</t>
  </si>
  <si>
    <t>Alto</t>
  </si>
  <si>
    <t>Carlos Mendes</t>
  </si>
  <si>
    <t>Daniela Costa</t>
  </si>
  <si>
    <t>Turma C</t>
  </si>
  <si>
    <t>Médio</t>
  </si>
  <si>
    <t>Eduardo Silva</t>
  </si>
  <si>
    <t>Fernanda Rocha</t>
  </si>
  <si>
    <t>Gustavo Alves</t>
  </si>
  <si>
    <t>Helena Nunes</t>
  </si>
  <si>
    <t>Igor Martins</t>
  </si>
  <si>
    <t>Júlia Pires</t>
  </si>
  <si>
    <t>ACOMPANHAMENTO PEDAGÓGICO 2026</t>
  </si>
  <si>
    <t>Quantidade de Alunos</t>
  </si>
  <si>
    <t>ACOMPANHAMENTO NA EAD</t>
  </si>
  <si>
    <t>SUM de Acessos Totais</t>
  </si>
  <si>
    <t>SUM de Nota Média (0-100)</t>
  </si>
  <si>
    <t>Média da Taxa de Entrega</t>
  </si>
  <si>
    <t>Média de Entregas com Atraso</t>
  </si>
  <si>
    <t>Média de entrega</t>
  </si>
  <si>
    <t>Postagem</t>
  </si>
  <si>
    <t>Postagens no Fórum</t>
  </si>
  <si>
    <t>Nota Média</t>
  </si>
  <si>
    <t>Total geral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</si>
</sst>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sz val="20.0"/>
      <color rgb="FFFFFFFF"/>
      <name val="Arial"/>
      <scheme val="minor"/>
    </font>
    <font>
      <b/>
      <sz val="18.0"/>
      <color rgb="FF0000FF"/>
      <name val="Arial"/>
      <scheme val="minor"/>
    </font>
    <font>
      <color rgb="FF134F5C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8E7CC3"/>
        <bgColor rgb="FF8E7CC3"/>
      </patternFill>
    </fill>
    <fill>
      <patternFill patternType="solid">
        <fgColor rgb="FF351C75"/>
        <bgColor rgb="FF351C75"/>
      </patternFill>
    </fill>
    <fill>
      <patternFill patternType="solid">
        <fgColor rgb="FFD0E0E3"/>
        <bgColor rgb="FFD0E0E3"/>
      </patternFill>
    </fill>
    <fill>
      <patternFill patternType="solid">
        <fgColor rgb="FF134F5C"/>
        <bgColor rgb="FF134F5C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Fill="1" applyFont="1"/>
    <xf borderId="0" fillId="3" fontId="1" numFmtId="0" xfId="0" applyFill="1" applyFont="1"/>
    <xf borderId="0" fillId="0" fontId="1" numFmtId="0" xfId="0" applyFont="1"/>
    <xf borderId="0" fillId="4" fontId="1" numFmtId="0" xfId="0" applyFill="1" applyFont="1"/>
    <xf borderId="0" fillId="4" fontId="3" numFmtId="0" xfId="0" applyAlignment="1" applyFill="1" applyFont="1">
      <alignment readingOrder="0"/>
    </xf>
    <xf borderId="0" fillId="5" fontId="4" numFmtId="0" xfId="0" applyFill="1" applyFont="1"/>
    <xf borderId="0" fillId="0" fontId="1" numFmtId="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Quantidade de Alunos x Risco de Evasão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'Dashboard Acompanhamento 2'!$B$4</c:f>
            </c:strRef>
          </c:tx>
          <c:spPr>
            <a:solidFill>
              <a:srgbClr val="00FF00"/>
            </a:solidFill>
            <a:ln cmpd="sng">
              <a:noFill/>
            </a:ln>
          </c:spPr>
          <c:invertIfNegative val="0"/>
          <c:dPt>
            <c:idx val="0"/>
            <c:spPr>
              <a:solidFill>
                <a:srgbClr val="00FF00"/>
              </a:solidFill>
              <a:ln cmpd="sng">
                <a:noFill/>
              </a:ln>
            </c:spPr>
          </c:dPt>
          <c:dPt>
            <c:idx val="1"/>
            <c:spPr>
              <a:solidFill>
                <a:srgbClr val="FFFF00"/>
              </a:solidFill>
              <a:ln cmpd="sng">
                <a:noFill/>
              </a:ln>
            </c:spPr>
          </c:dPt>
          <c:dPt>
            <c:idx val="2"/>
            <c:spPr>
              <a:solidFill>
                <a:srgbClr val="FF0000"/>
              </a:solidFill>
              <a:ln cmpd="sng">
                <a:noFill/>
              </a:ln>
            </c:spPr>
          </c:dPt>
          <c:cat>
            <c:strRef>
              <c:f>'Dashboard Acompanhamento 2'!$A$5:$A$7</c:f>
            </c:strRef>
          </c:cat>
          <c:val>
            <c:numRef>
              <c:f>'Dashboard Acompanhamento 2'!$B$5:$B$7</c:f>
              <c:numCache/>
            </c:numRef>
          </c:val>
        </c:ser>
        <c:axId val="1495173675"/>
        <c:axId val="1122870245"/>
      </c:barChart>
      <c:catAx>
        <c:axId val="14951736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Risco de Evasão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2870245"/>
      </c:catAx>
      <c:valAx>
        <c:axId val="11228702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Quantidade de Alunos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51736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strRef>
              <c:f>'Dashboard Acompanhamento 2'!$E$4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'Dashboard Acompanhamento 2'!$D$5:$D$7</c:f>
            </c:strRef>
          </c:cat>
          <c:val>
            <c:numRef>
              <c:f>'Dashboard Acompanhamento 2'!$E$5:$E$7</c:f>
              <c:numCache/>
            </c:numRef>
          </c:val>
        </c:ser>
        <c:axId val="880355645"/>
        <c:axId val="19062152"/>
      </c:barChart>
      <c:catAx>
        <c:axId val="8803556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62152"/>
      </c:catAx>
      <c:valAx>
        <c:axId val="190621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0355645"/>
      </c:valAx>
      <c:barChart>
        <c:barDir val="col"/>
        <c:varyColors val="0"/>
        <c:ser>
          <c:idx val="1"/>
          <c:order val="1"/>
          <c:tx>
            <c:strRef>
              <c:f>'Dashboard Acompanhamento 2'!$F$4</c:f>
            </c:strRef>
          </c:tx>
          <c:spPr>
            <a:solidFill>
              <a:schemeClr val="accent2"/>
            </a:solidFill>
            <a:ln cmpd="sng">
              <a:noFill/>
            </a:ln>
          </c:spPr>
          <c:invertIfNegative val="0"/>
          <c:cat>
            <c:strRef>
              <c:f>'Dashboard Acompanhamento 2'!$D$5:$D$7</c:f>
            </c:strRef>
          </c:cat>
          <c:val>
            <c:numRef>
              <c:f>'Dashboard Acompanhamento 2'!$F$5:$F$7</c:f>
              <c:numCache/>
            </c:numRef>
          </c:val>
        </c:ser>
        <c:axId val="932384404"/>
        <c:axId val="156138299"/>
      </c:barChart>
      <c:catAx>
        <c:axId val="9323844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138299"/>
      </c:catAx>
      <c:valAx>
        <c:axId val="156138299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238440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Alunos x Postagens no Fórum</a:t>
            </a:r>
          </a:p>
        </c:rich>
      </c:tx>
      <c:overlay val="0"/>
    </c:title>
    <c:plotArea>
      <c:layout/>
      <c:barChart>
        <c:barDir val="bar"/>
        <c:varyColors val="0"/>
        <c:ser>
          <c:idx val="0"/>
          <c:order val="0"/>
          <c:tx>
            <c:strRef>
              <c:f>'Dashboard Acompanhamento 2'!$I$4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'Dashboard Acompanhamento 2'!$H$5:$H$14</c:f>
            </c:strRef>
          </c:cat>
          <c:val>
            <c:numRef>
              <c:f>'Dashboard Acompanhamento 2'!$I$5:$I$14</c:f>
              <c:numCache/>
            </c:numRef>
          </c:val>
        </c:ser>
        <c:axId val="1274503159"/>
        <c:axId val="374649336"/>
      </c:barChart>
      <c:catAx>
        <c:axId val="127450315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Nome do Aluno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4649336"/>
      </c:catAx>
      <c:valAx>
        <c:axId val="37464933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Postagem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450315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Média e Acessos Totais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'Dashboard Acompanhamento 2'!$M$4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'Dashboard Acompanhamento 2'!$L$5:$L$14</c:f>
            </c:numRef>
          </c:xVal>
          <c:yVal>
            <c:numRef>
              <c:f>'Dashboard Acompanhamento 2'!$M$5:$M$14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582449"/>
        <c:axId val="1368710849"/>
      </c:scatterChart>
      <c:valAx>
        <c:axId val="188358244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Nota Média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8710849"/>
      </c:valAx>
      <c:valAx>
        <c:axId val="13687108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Acessos Totais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35824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Quantidade de Alunos x Risco de Evasão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'Dashboard Acompanhamento'!$B$4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dPt>
            <c:idx val="0"/>
            <c:spPr>
              <a:solidFill>
                <a:srgbClr val="00FF00"/>
              </a:solidFill>
              <a:ln cmpd="sng">
                <a:noFill/>
              </a:ln>
            </c:spPr>
          </c:dPt>
          <c:dPt>
            <c:idx val="1"/>
            <c:spPr>
              <a:solidFill>
                <a:srgbClr val="FFFF00"/>
              </a:solidFill>
              <a:ln cmpd="sng">
                <a:noFill/>
              </a:ln>
            </c:spPr>
          </c:dPt>
          <c:dPt>
            <c:idx val="2"/>
            <c:spPr>
              <a:solidFill>
                <a:srgbClr val="FF0000"/>
              </a:solidFill>
              <a:ln cmpd="sng">
                <a:noFill/>
              </a:ln>
            </c:spPr>
          </c:dPt>
          <c:dPt>
            <c:idx val="3"/>
          </c:dPt>
          <c:cat>
            <c:strRef>
              <c:f>'Dashboard Acompanhamento'!$A$5:$A$8</c:f>
            </c:strRef>
          </c:cat>
          <c:val>
            <c:numRef>
              <c:f>'Dashboard Acompanhamento'!$B$5:$B$8</c:f>
              <c:numCache/>
            </c:numRef>
          </c:val>
        </c:ser>
        <c:axId val="244059672"/>
        <c:axId val="1704792247"/>
      </c:barChart>
      <c:catAx>
        <c:axId val="244059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Risco de Evasão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4792247"/>
      </c:catAx>
      <c:valAx>
        <c:axId val="17047922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4059672"/>
      </c:valAx>
    </c:plotArea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Acessos Totais x Notas Médias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dPt>
            <c:idx val="1"/>
            <c:marker>
              <c:symbol val="none"/>
            </c:marker>
          </c:dPt>
          <c:xVal>
            <c:numRef>
              <c:f>'Dashboard Acompanhamento'!$F$4:$F$14</c:f>
            </c:numRef>
          </c:xVal>
          <c:yVal>
            <c:numRef>
              <c:f>'Dashboard Acompanhamento'!$E$4:$E$14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0434140"/>
        <c:axId val="466212435"/>
      </c:scatterChart>
      <c:valAx>
        <c:axId val="22043414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Nota Média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6212435"/>
      </c:valAx>
      <c:valAx>
        <c:axId val="4662124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Acessos Totais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0434140"/>
      </c:valAx>
    </c:plotArea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Alunos x Postagens no Fórum</a:t>
            </a:r>
          </a:p>
        </c:rich>
      </c:tx>
      <c:overlay val="0"/>
    </c:title>
    <c:plotArea>
      <c:layout/>
      <c:barChart>
        <c:barDir val="bar"/>
        <c:varyColors val="0"/>
        <c:ser>
          <c:idx val="0"/>
          <c:order val="0"/>
          <c:tx>
            <c:strRef>
              <c:f>'Dashboard Acompanhamento'!$B$10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'Dashboard Acompanhamento'!$A$11:$A$20</c:f>
            </c:strRef>
          </c:cat>
          <c:val>
            <c:numRef>
              <c:f>'Dashboard Acompanhamento'!$B$11:$B$20</c:f>
              <c:numCache/>
            </c:numRef>
          </c:val>
        </c:ser>
        <c:axId val="1495391396"/>
        <c:axId val="2045025740"/>
      </c:barChart>
      <c:catAx>
        <c:axId val="149539139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Nome do Aluno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5025740"/>
      </c:catAx>
      <c:valAx>
        <c:axId val="204502574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Soma de Postagens no Fórum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539139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strRef>
              <c:f>'Dashboard Acompanhamento'!$I$4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'Dashboard Acompanhamento'!$H$5:$H$7</c:f>
            </c:strRef>
          </c:cat>
          <c:val>
            <c:numRef>
              <c:f>'Dashboard Acompanhamento'!$I$5:$I$7</c:f>
              <c:numCache/>
            </c:numRef>
          </c:val>
        </c:ser>
        <c:axId val="267639988"/>
        <c:axId val="1755352701"/>
      </c:barChart>
      <c:catAx>
        <c:axId val="2676399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5352701"/>
      </c:catAx>
      <c:valAx>
        <c:axId val="17553527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7639988"/>
      </c:valAx>
      <c:barChart>
        <c:barDir val="col"/>
        <c:varyColors val="0"/>
        <c:ser>
          <c:idx val="1"/>
          <c:order val="1"/>
          <c:tx>
            <c:strRef>
              <c:f>'Dashboard Acompanhamento'!$J$4</c:f>
            </c:strRef>
          </c:tx>
          <c:spPr>
            <a:solidFill>
              <a:schemeClr val="accent2"/>
            </a:solidFill>
            <a:ln cmpd="sng">
              <a:noFill/>
            </a:ln>
          </c:spPr>
          <c:invertIfNegative val="0"/>
          <c:cat>
            <c:strRef>
              <c:f>'Dashboard Acompanhamento'!$H$5:$H$7</c:f>
            </c:strRef>
          </c:cat>
          <c:val>
            <c:numRef>
              <c:f>'Dashboard Acompanhamento'!$J$5:$J$7</c:f>
              <c:numCache/>
            </c:numRef>
          </c:val>
        </c:ser>
        <c:axId val="1962568220"/>
        <c:axId val="560495383"/>
      </c:barChart>
      <c:catAx>
        <c:axId val="19625682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0495383"/>
      </c:catAx>
      <c:valAx>
        <c:axId val="560495383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256822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</xdr:row>
      <xdr:rowOff>76200</xdr:rowOff>
    </xdr:from>
    <xdr:ext cx="7038975" cy="35337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20</xdr:row>
      <xdr:rowOff>180975</xdr:rowOff>
    </xdr:from>
    <xdr:ext cx="7038975" cy="35337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666750</xdr:colOff>
      <xdr:row>20</xdr:row>
      <xdr:rowOff>180975</xdr:rowOff>
    </xdr:from>
    <xdr:ext cx="6915150" cy="3533775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6</xdr:col>
      <xdr:colOff>600075</xdr:colOff>
      <xdr:row>2</xdr:row>
      <xdr:rowOff>76200</xdr:rowOff>
    </xdr:from>
    <xdr:ext cx="6981825" cy="3533775"/>
    <xdr:graphicFrame>
      <xdr:nvGraphicFramePr>
        <xdr:cNvPr id="8" name="Chart 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</xdr:row>
      <xdr:rowOff>114300</xdr:rowOff>
    </xdr:from>
    <xdr:ext cx="7077075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161925</xdr:colOff>
      <xdr:row>2</xdr:row>
      <xdr:rowOff>114300</xdr:rowOff>
    </xdr:from>
    <xdr:ext cx="7077075" cy="3533775"/>
    <xdr:graphicFrame>
      <xdr:nvGraphicFramePr>
        <xdr:cNvPr id="5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161925</xdr:colOff>
      <xdr:row>21</xdr:row>
      <xdr:rowOff>28575</xdr:rowOff>
    </xdr:from>
    <xdr:ext cx="7077075" cy="3533775"/>
    <xdr:graphicFrame>
      <xdr:nvGraphicFramePr>
        <xdr:cNvPr id="6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0</xdr:col>
      <xdr:colOff>0</xdr:colOff>
      <xdr:row>21</xdr:row>
      <xdr:rowOff>28575</xdr:rowOff>
    </xdr:from>
    <xdr:ext cx="7077075" cy="3533775"/>
    <xdr:graphicFrame>
      <xdr:nvGraphicFramePr>
        <xdr:cNvPr id="7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11" sheet="Dados"/>
  </cacheSource>
  <cacheFields>
    <cacheField name="ID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</sharedItems>
    </cacheField>
    <cacheField name="Nome do Aluno" numFmtId="0">
      <sharedItems>
        <s v="Ana Souza"/>
        <s v="Bruno Lima"/>
        <s v="Carlos Mendes"/>
        <s v="Daniela Costa"/>
        <s v="Eduardo Silva"/>
        <s v="Fernanda Rocha"/>
        <s v="Gustavo Alves"/>
        <s v="Helena Nunes"/>
        <s v="Igor Martins"/>
        <s v="Júlia Pires"/>
      </sharedItems>
    </cacheField>
    <cacheField name="Polo/Turma" numFmtId="0">
      <sharedItems>
        <s v="Turma A"/>
        <s v="Turma B"/>
        <s v="Turma C"/>
      </sharedItems>
    </cacheField>
    <cacheField name="Último Acesso (Dias)" numFmtId="0">
      <sharedItems containsSemiMixedTypes="0" containsString="0" containsNumber="1" containsInteger="1">
        <n v="1.0"/>
        <n v="14.0"/>
        <n v="2.0"/>
        <n v="7.0"/>
        <n v="0.0"/>
        <n v="21.0"/>
        <n v="3.0"/>
        <n v="10.0"/>
        <n v="4.0"/>
      </sharedItems>
    </cacheField>
    <cacheField name="Acessos Totais" numFmtId="0">
      <sharedItems containsSemiMixedTypes="0" containsString="0" containsNumber="1" containsInteger="1">
        <n v="145.0"/>
        <n v="32.0"/>
        <n v="110.0"/>
        <n v="54.0"/>
        <n v="210.0"/>
        <n v="15.0"/>
        <n v="88.0"/>
        <n v="134.0"/>
        <n v="45.0"/>
        <n v="76.0"/>
      </sharedItems>
    </cacheField>
    <cacheField name="Postagens Fórum" numFmtId="0">
      <sharedItems containsSemiMixedTypes="0" containsString="0" containsNumber="1" containsInteger="1">
        <n v="8.0"/>
        <n v="1.0"/>
        <n v="5.0"/>
        <n v="2.0"/>
        <n v="12.0"/>
        <n v="0.0"/>
        <n v="3.0"/>
        <n v="6.0"/>
        <n v="4.0"/>
      </sharedItems>
    </cacheField>
    <cacheField name="Taxa de Entrega (%)" numFmtId="9">
      <sharedItems containsSemiMixedTypes="0" containsString="0" containsNumber="1">
        <n v="1.0"/>
        <n v="0.4"/>
        <n v="0.9"/>
        <n v="0.6"/>
        <n v="0.2"/>
        <n v="0.8"/>
        <n v="0.5"/>
        <n v="0.7"/>
      </sharedItems>
    </cacheField>
    <cacheField name="Entregas com Atraso" numFmtId="0">
      <sharedItems containsSemiMixedTypes="0" containsString="0" containsNumber="1" containsInteger="1">
        <n v="0.0"/>
        <n v="3.0"/>
        <n v="1.0"/>
        <n v="4.0"/>
        <n v="2.0"/>
      </sharedItems>
    </cacheField>
    <cacheField name="Nota Média (0-100)" numFmtId="0">
      <sharedItems containsSemiMixedTypes="0" containsString="0" containsNumber="1" containsInteger="1">
        <n v="92.0"/>
        <n v="45.0"/>
        <n v="85.0"/>
        <n v="65.0"/>
        <n v="98.0"/>
        <n v="30.0"/>
        <n v="72.0"/>
        <n v="88.0"/>
        <n v="55.0"/>
        <n v="68.0"/>
      </sharedItems>
    </cacheField>
    <cacheField name="Risco de Evasão" numFmtId="0">
      <sharedItems>
        <s v="Baixo"/>
        <s v="Alto"/>
        <s v="Médio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Dashboard Acompanhamento 2" cacheId="0" dataCaption="" rowGrandTotals="0" compact="0" compactData="0">
  <location ref="A4:B7" firstHeaderRow="0" firstDataRow="1" firstDataCol="0"/>
  <pivotFields>
    <pivotField name="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ome do Alun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lo/Turma" compact="0" outline="0" multipleItemSelectionAllowed="1" showAll="0">
      <items>
        <item x="0"/>
        <item x="1"/>
        <item x="2"/>
        <item t="default"/>
      </items>
    </pivotField>
    <pivotField name="Último Acesso (Dias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Acessos Totai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stagens Fóru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xa de Entrega (%)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ntregas com Atraso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ota Média (0-100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isco de Evasão" axis="axisRow" compact="0" outline="0" multipleItemSelectionAllowed="1" showAll="0">
      <items>
        <item x="0"/>
        <item x="2"/>
        <item x="1"/>
        <item t="default"/>
      </items>
    </pivotField>
  </pivotFields>
  <rowFields>
    <field x="9"/>
  </rowFields>
  <dataFields>
    <dataField name="Quantidade de Alunos" fld="1" subtotal="count" baseField="0"/>
  </dataFields>
</pivotTableDefinition>
</file>

<file path=xl/pivotTables/pivotTable2.xml><?xml version="1.0" encoding="utf-8"?>
<pivotTableDefinition xmlns="http://schemas.openxmlformats.org/spreadsheetml/2006/main" name="Dashboard Acompanhamento 2 2" cacheId="0" dataCaption="" rowGrandTotals="0" compact="0" compactData="0">
  <location ref="D4:F7" firstHeaderRow="0" firstDataRow="2" firstDataCol="0"/>
  <pivotFields>
    <pivotField name="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ome do Alun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lo/Turma" axis="axisRow" compact="0" outline="0" multipleItemSelectionAllowed="1" showAll="0" sortType="ascending">
      <items>
        <item x="0"/>
        <item x="1"/>
        <item x="2"/>
        <item t="default"/>
      </items>
    </pivotField>
    <pivotField name="Último Acesso (Dias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Acessos Totai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stagens Fóru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xa de Entrega (%)" dataField="1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ntregas com Atraso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ota Média (0-100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isco de Evasão" compact="0" outline="0" multipleItemSelectionAllowed="1" showAll="0">
      <items>
        <item x="0"/>
        <item x="1"/>
        <item x="2"/>
        <item t="default"/>
      </items>
    </pivotField>
  </pivotFields>
  <rowFields>
    <field x="2"/>
  </rowFields>
  <colFields>
    <field x="-2"/>
  </colFields>
  <dataFields>
    <dataField name="Média de entrega" fld="6" subtotal="average" baseField="0"/>
    <dataField name="Média de Entregas com Atraso" fld="7" subtotal="average" baseField="0"/>
  </dataFields>
</pivotTableDefinition>
</file>

<file path=xl/pivotTables/pivotTable3.xml><?xml version="1.0" encoding="utf-8"?>
<pivotTableDefinition xmlns="http://schemas.openxmlformats.org/spreadsheetml/2006/main" name="Dashboard Acompanhamento 2 3" cacheId="0" dataCaption="" compact="0" compactData="0">
  <location ref="H4:I15" firstHeaderRow="0" firstDataRow="1" firstDataCol="0"/>
  <pivotFields>
    <pivotField name="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ome do Aluno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lo/Turma" compact="0" outline="0" multipleItemSelectionAllowed="1" showAll="0">
      <items>
        <item x="0"/>
        <item x="1"/>
        <item x="2"/>
        <item t="default"/>
      </items>
    </pivotField>
    <pivotField name="Último Acesso (Dias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Acessos Totai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stagens Fóru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xa de Entrega (%)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ntregas com Atraso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ota Média (0-100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isco de Evasão" compact="0" outline="0" multipleItemSelectionAllowed="1" showAll="0">
      <items>
        <item x="0"/>
        <item x="1"/>
        <item x="2"/>
        <item t="default"/>
      </items>
    </pivotField>
  </pivotFields>
  <rowFields>
    <field x="1"/>
  </rowFields>
  <dataFields>
    <dataField name="Postagem" fld="5" baseField="0"/>
  </dataFields>
</pivotTableDefinition>
</file>

<file path=xl/pivotTables/pivotTable4.xml><?xml version="1.0" encoding="utf-8"?>
<pivotTableDefinition xmlns="http://schemas.openxmlformats.org/spreadsheetml/2006/main" name="Dashboard Acompanhamento 2 4" cacheId="0" dataCaption="" compact="0" compactData="0">
  <location ref="K4:M15" firstHeaderRow="0" firstDataRow="2" firstDataCol="0"/>
  <pivotFields>
    <pivotField name="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ome do Aluno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lo/Turma" compact="0" outline="0" multipleItemSelectionAllowed="1" showAll="0">
      <items>
        <item x="0"/>
        <item x="1"/>
        <item x="2"/>
        <item t="default"/>
      </items>
    </pivotField>
    <pivotField name="Último Acesso (Dias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Acessos Totai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stagens Fóru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xa de Entrega (%)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ntregas com Atraso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ota Média (0-100)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isco de Evasão" compact="0" outline="0" multipleItemSelectionAllowed="1" showAll="0">
      <items>
        <item x="0"/>
        <item x="1"/>
        <item x="2"/>
        <item t="default"/>
      </items>
    </pivotField>
  </pivotFields>
  <rowFields>
    <field x="1"/>
  </rowFields>
  <colFields>
    <field x="-2"/>
  </colFields>
  <dataFields>
    <dataField name="Nota Média" fld="8" baseField="0"/>
    <dataField name="Acessos Totais" fld="4" baseField="0"/>
  </dataFields>
</pivotTableDefinition>
</file>

<file path=xl/pivotTables/pivotTable5.xml><?xml version="1.0" encoding="utf-8"?>
<pivotTableDefinition xmlns="http://schemas.openxmlformats.org/spreadsheetml/2006/main" name="Dashboard Acompanhamento" cacheId="0" dataCaption="" rowGrandTotals="0" compact="0" compactData="0">
  <location ref="A4:B7" firstHeaderRow="0" firstDataRow="1" firstDataCol="0"/>
  <pivotFields>
    <pivotField name="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ome do Alun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lo/Turma" compact="0" outline="0" multipleItemSelectionAllowed="1" showAll="0">
      <items>
        <item x="0"/>
        <item x="1"/>
        <item x="2"/>
        <item t="default"/>
      </items>
    </pivotField>
    <pivotField name="Último Acesso (Dias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Acessos Totai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stagens Fóru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xa de Entrega (%)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ntregas com Atraso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ota Média (0-100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isco de Evasão" axis="axisRow" compact="0" outline="0" multipleItemSelectionAllowed="1" showAll="0">
      <items>
        <item x="0"/>
        <item x="2"/>
        <item x="1"/>
        <item t="default"/>
      </items>
    </pivotField>
  </pivotFields>
  <rowFields>
    <field x="9"/>
  </rowFields>
  <dataFields>
    <dataField name="Quantidade de Alunos" fld="1" subtotal="count" baseField="0"/>
  </dataFields>
</pivotTableDefinition>
</file>

<file path=xl/pivotTables/pivotTable6.xml><?xml version="1.0" encoding="utf-8"?>
<pivotTableDefinition xmlns="http://schemas.openxmlformats.org/spreadsheetml/2006/main" name="Dashboard Acompanhamento 2" cacheId="0" dataCaption="" rowGrandTotals="0" compact="0" compactData="0">
  <location ref="D4:F14" firstHeaderRow="0" firstDataRow="2" firstDataCol="0"/>
  <pivotFields>
    <pivotField name="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ome do Aluno" axis="axisRow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lo/Turma" compact="0" outline="0" multipleItemSelectionAllowed="1" showAll="0">
      <items>
        <item x="0"/>
        <item x="1"/>
        <item x="2"/>
        <item t="default"/>
      </items>
    </pivotField>
    <pivotField name="Último Acesso (Dias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Acessos Totai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stagens Fóru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xa de Entrega (%)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ntregas com Atraso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ota Média (0-100)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isco de Evasão" compact="0" outline="0" multipleItemSelectionAllowed="1" showAll="0">
      <items>
        <item x="0"/>
        <item x="1"/>
        <item x="2"/>
        <item t="default"/>
      </items>
    </pivotField>
  </pivotFields>
  <rowFields>
    <field x="1"/>
  </rowFields>
  <colFields>
    <field x="-2"/>
  </colFields>
  <dataFields>
    <dataField name="SUM of Acessos Totais" fld="4" baseField="0"/>
    <dataField name="SUM of Nota Média (0-100)" fld="8" baseField="0"/>
  </dataFields>
</pivotTableDefinition>
</file>

<file path=xl/pivotTables/pivotTable7.xml><?xml version="1.0" encoding="utf-8"?>
<pivotTableDefinition xmlns="http://schemas.openxmlformats.org/spreadsheetml/2006/main" name="Dashboard Acompanhamento 3" cacheId="0" dataCaption="" rowGrandTotals="0" compact="0" compactData="0">
  <location ref="H4:J7" firstHeaderRow="0" firstDataRow="2" firstDataCol="0"/>
  <pivotFields>
    <pivotField name="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ome do Alun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lo/Turma" axis="axisRow" compact="0" outline="0" multipleItemSelectionAllowed="1" showAll="0" sortType="ascending">
      <items>
        <item x="0"/>
        <item x="1"/>
        <item x="2"/>
        <item t="default"/>
      </items>
    </pivotField>
    <pivotField name="Último Acesso (Dias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Acessos Totai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stagens Fóru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xa de Entrega (%)" dataField="1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ntregas com Atraso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ota Média (0-100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isco de Evasão" compact="0" outline="0" multipleItemSelectionAllowed="1" showAll="0">
      <items>
        <item x="0"/>
        <item x="1"/>
        <item x="2"/>
        <item t="default"/>
      </items>
    </pivotField>
  </pivotFields>
  <rowFields>
    <field x="2"/>
  </rowFields>
  <colFields>
    <field x="-2"/>
  </colFields>
  <dataFields>
    <dataField name="Média da Taxa de Entrega" fld="6" subtotal="average" baseField="0"/>
    <dataField name="Média de Entregas com Atraso" fld="7" subtotal="average" baseField="0"/>
  </dataFields>
</pivotTableDefinition>
</file>

<file path=xl/pivotTables/pivotTable8.xml><?xml version="1.0" encoding="utf-8"?>
<pivotTableDefinition xmlns="http://schemas.openxmlformats.org/spreadsheetml/2006/main" name="Dashboard Acompanhamento 4" cacheId="0" dataCaption="" rowGrandTotals="0" compact="0" compactData="0">
  <location ref="A10:B20" firstHeaderRow="0" firstDataRow="1" firstDataCol="0"/>
  <pivotFields>
    <pivotField name="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ome do Aluno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lo/Turma" compact="0" outline="0" multipleItemSelectionAllowed="1" showAll="0">
      <items>
        <item x="0"/>
        <item x="1"/>
        <item x="2"/>
        <item t="default"/>
      </items>
    </pivotField>
    <pivotField name="Último Acesso (Dias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Acessos Totai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ostagens Fóru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axa de Entrega (%)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ntregas com Atraso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ota Média (0-100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isco de Evasão" compact="0" outline="0" multipleItemSelectionAllowed="1" showAll="0">
      <items>
        <item x="0"/>
        <item x="1"/>
        <item x="2"/>
        <item t="default"/>
      </items>
    </pivotField>
  </pivotFields>
  <rowFields>
    <field x="1"/>
  </rowFields>
  <dataFields>
    <dataField name="Postagens no Fórum" fld="5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5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5.xml"/><Relationship Id="rId2" Type="http://schemas.openxmlformats.org/officeDocument/2006/relationships/pivotTable" Target="../pivotTables/pivotTable6.xml"/><Relationship Id="rId3" Type="http://schemas.openxmlformats.org/officeDocument/2006/relationships/pivotTable" Target="../pivotTables/pivotTable7.xml"/><Relationship Id="rId4" Type="http://schemas.openxmlformats.org/officeDocument/2006/relationships/pivotTable" Target="../pivotTables/pivotTable8.xml"/><Relationship Id="rId5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  <col customWidth="1" min="6" max="6" width="14.13"/>
    <col customWidth="1" min="8" max="8" width="16.5"/>
    <col customWidth="1" min="9" max="9" width="15.38"/>
    <col customWidth="1" min="10" max="10" width="13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1">
        <v>1.0</v>
      </c>
      <c r="B2" s="1" t="s">
        <v>10</v>
      </c>
      <c r="C2" s="1" t="s">
        <v>11</v>
      </c>
      <c r="D2" s="1">
        <v>1.0</v>
      </c>
      <c r="E2" s="1">
        <v>145.0</v>
      </c>
      <c r="F2" s="1">
        <v>8.0</v>
      </c>
      <c r="G2" s="2">
        <v>1.0</v>
      </c>
      <c r="H2" s="1">
        <v>0.0</v>
      </c>
      <c r="I2" s="1">
        <v>92.0</v>
      </c>
      <c r="J2" s="1" t="s">
        <v>12</v>
      </c>
    </row>
    <row r="3">
      <c r="A3" s="1">
        <v>2.0</v>
      </c>
      <c r="B3" s="1" t="s">
        <v>13</v>
      </c>
      <c r="C3" s="1" t="s">
        <v>14</v>
      </c>
      <c r="D3" s="1">
        <v>14.0</v>
      </c>
      <c r="E3" s="1">
        <v>32.0</v>
      </c>
      <c r="F3" s="1">
        <v>1.0</v>
      </c>
      <c r="G3" s="2">
        <v>0.4</v>
      </c>
      <c r="H3" s="1">
        <v>3.0</v>
      </c>
      <c r="I3" s="1">
        <v>45.0</v>
      </c>
      <c r="J3" s="1" t="s">
        <v>15</v>
      </c>
    </row>
    <row r="4">
      <c r="A4" s="1">
        <v>3.0</v>
      </c>
      <c r="B4" s="1" t="s">
        <v>16</v>
      </c>
      <c r="C4" s="1" t="s">
        <v>11</v>
      </c>
      <c r="D4" s="1">
        <v>2.0</v>
      </c>
      <c r="E4" s="1">
        <v>110.0</v>
      </c>
      <c r="F4" s="1">
        <v>5.0</v>
      </c>
      <c r="G4" s="2">
        <v>0.9</v>
      </c>
      <c r="H4" s="1">
        <v>1.0</v>
      </c>
      <c r="I4" s="1">
        <v>85.0</v>
      </c>
      <c r="J4" s="1" t="s">
        <v>12</v>
      </c>
    </row>
    <row r="5">
      <c r="A5" s="1">
        <v>4.0</v>
      </c>
      <c r="B5" s="1" t="s">
        <v>17</v>
      </c>
      <c r="C5" s="1" t="s">
        <v>18</v>
      </c>
      <c r="D5" s="1">
        <v>7.0</v>
      </c>
      <c r="E5" s="1">
        <v>54.0</v>
      </c>
      <c r="F5" s="1">
        <v>2.0</v>
      </c>
      <c r="G5" s="2">
        <v>0.6</v>
      </c>
      <c r="H5" s="1">
        <v>4.0</v>
      </c>
      <c r="I5" s="1">
        <v>65.0</v>
      </c>
      <c r="J5" s="1" t="s">
        <v>19</v>
      </c>
    </row>
    <row r="6">
      <c r="A6" s="1">
        <v>5.0</v>
      </c>
      <c r="B6" s="1" t="s">
        <v>20</v>
      </c>
      <c r="C6" s="1" t="s">
        <v>14</v>
      </c>
      <c r="D6" s="1">
        <v>0.0</v>
      </c>
      <c r="E6" s="1">
        <v>210.0</v>
      </c>
      <c r="F6" s="1">
        <v>12.0</v>
      </c>
      <c r="G6" s="2">
        <v>1.0</v>
      </c>
      <c r="H6" s="1">
        <v>0.0</v>
      </c>
      <c r="I6" s="1">
        <v>98.0</v>
      </c>
      <c r="J6" s="1" t="s">
        <v>12</v>
      </c>
    </row>
    <row r="7">
      <c r="A7" s="1">
        <v>6.0</v>
      </c>
      <c r="B7" s="1" t="s">
        <v>21</v>
      </c>
      <c r="C7" s="1" t="s">
        <v>11</v>
      </c>
      <c r="D7" s="1">
        <v>21.0</v>
      </c>
      <c r="E7" s="1">
        <v>15.0</v>
      </c>
      <c r="F7" s="1">
        <v>0.0</v>
      </c>
      <c r="G7" s="2">
        <v>0.2</v>
      </c>
      <c r="H7" s="1">
        <v>1.0</v>
      </c>
      <c r="I7" s="1">
        <v>30.0</v>
      </c>
      <c r="J7" s="1" t="s">
        <v>15</v>
      </c>
    </row>
    <row r="8">
      <c r="A8" s="1">
        <v>7.0</v>
      </c>
      <c r="B8" s="1" t="s">
        <v>22</v>
      </c>
      <c r="C8" s="1" t="s">
        <v>18</v>
      </c>
      <c r="D8" s="1">
        <v>3.0</v>
      </c>
      <c r="E8" s="1">
        <v>88.0</v>
      </c>
      <c r="F8" s="1">
        <v>3.0</v>
      </c>
      <c r="G8" s="2">
        <v>0.8</v>
      </c>
      <c r="H8" s="1">
        <v>2.0</v>
      </c>
      <c r="I8" s="1">
        <v>72.0</v>
      </c>
      <c r="J8" s="1" t="s">
        <v>19</v>
      </c>
    </row>
    <row r="9">
      <c r="A9" s="1">
        <v>8.0</v>
      </c>
      <c r="B9" s="1" t="s">
        <v>23</v>
      </c>
      <c r="C9" s="1" t="s">
        <v>14</v>
      </c>
      <c r="D9" s="1">
        <v>1.0</v>
      </c>
      <c r="E9" s="1">
        <v>134.0</v>
      </c>
      <c r="F9" s="1">
        <v>6.0</v>
      </c>
      <c r="G9" s="2">
        <v>1.0</v>
      </c>
      <c r="H9" s="1">
        <v>1.0</v>
      </c>
      <c r="I9" s="1">
        <v>88.0</v>
      </c>
      <c r="J9" s="1" t="s">
        <v>12</v>
      </c>
    </row>
    <row r="10">
      <c r="A10" s="1">
        <v>9.0</v>
      </c>
      <c r="B10" s="1" t="s">
        <v>24</v>
      </c>
      <c r="C10" s="1" t="s">
        <v>11</v>
      </c>
      <c r="D10" s="1">
        <v>10.0</v>
      </c>
      <c r="E10" s="1">
        <v>45.0</v>
      </c>
      <c r="F10" s="1">
        <v>1.0</v>
      </c>
      <c r="G10" s="2">
        <v>0.5</v>
      </c>
      <c r="H10" s="1">
        <v>3.0</v>
      </c>
      <c r="I10" s="1">
        <v>55.0</v>
      </c>
      <c r="J10" s="1" t="s">
        <v>15</v>
      </c>
    </row>
    <row r="11">
      <c r="A11" s="1">
        <v>10.0</v>
      </c>
      <c r="B11" s="1" t="s">
        <v>25</v>
      </c>
      <c r="C11" s="1" t="s">
        <v>18</v>
      </c>
      <c r="D11" s="1">
        <v>4.0</v>
      </c>
      <c r="E11" s="1">
        <v>76.0</v>
      </c>
      <c r="F11" s="1">
        <v>4.0</v>
      </c>
      <c r="G11" s="2">
        <v>0.7</v>
      </c>
      <c r="H11" s="1">
        <v>2.0</v>
      </c>
      <c r="I11" s="1">
        <v>68.0</v>
      </c>
      <c r="J11" s="1" t="s">
        <v>19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5" max="5" width="14.0"/>
    <col customWidth="1" min="6" max="6" width="23.88"/>
  </cols>
  <sheetData>
    <row r="1" ht="30.0" customHeight="1">
      <c r="A1" s="8"/>
      <c r="B1" s="9" t="s">
        <v>28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4"/>
    <row r="5"/>
    <row r="6"/>
    <row r="7"/>
    <row r="8"/>
    <row r="9"/>
    <row r="10"/>
    <row r="11"/>
    <row r="12"/>
    <row r="13"/>
    <row r="14"/>
    <row r="15"/>
  </sheetData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7.5"/>
    <col customWidth="1" min="5" max="5" width="15.38"/>
    <col customWidth="1" min="6" max="6" width="21.88"/>
  </cols>
  <sheetData>
    <row r="1" ht="39.0" customHeight="1">
      <c r="A1" s="3"/>
      <c r="B1" s="4" t="s">
        <v>26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</sheetData>
  <drawing r:id="rId5"/>
</worksheet>
</file>